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BITDA Bridge"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FFFFFF"/>
      <sz val="16"/>
    </font>
    <font>
      <name val="Arial"/>
      <i val="1"/>
      <color rgb="00595959"/>
      <sz val="9"/>
    </font>
    <font>
      <name val="Arial"/>
      <b val="1"/>
      <color rgb="00FFFFFF"/>
      <sz val="11"/>
    </font>
    <font>
      <name val="Arial"/>
      <sz val="11"/>
    </font>
    <font>
      <name val="Arial"/>
      <b val="1"/>
      <sz val="11"/>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D9E1F2"/>
        <bgColor rgb="00D9E1F2"/>
      </patternFill>
    </fill>
  </fills>
  <borders count="4">
    <border>
      <left/>
      <right/>
      <top/>
      <bottom/>
      <diagonal/>
    </border>
    <border>
      <left style="thin">
        <color rgb="00D9D9D9"/>
      </left>
      <right style="thin">
        <color rgb="00D9D9D9"/>
      </right>
      <top style="thin">
        <color rgb="00D9D9D9"/>
      </top>
      <bottom style="thin">
        <color rgb="00D9D9D9"/>
      </bottom>
    </border>
    <border>
      <bottom style="thin">
        <color rgb="00D9D9D9"/>
      </bottom>
    </border>
    <border>
      <top style="thin">
        <color rgb="00000000"/>
      </top>
      <bottom style="double">
        <color rgb="0000000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4" fillId="0" borderId="2" pivotButton="0" quotePrefix="0" xfId="0"/>
    <xf numFmtId="164" fontId="4" fillId="0" borderId="2" pivotButton="0" quotePrefix="0" xfId="0"/>
    <xf numFmtId="0" fontId="4" fillId="0" borderId="2" applyAlignment="1" pivotButton="0" quotePrefix="0" xfId="0">
      <alignment horizontal="center" vertical="center"/>
    </xf>
    <xf numFmtId="0" fontId="0" fillId="0" borderId="2" pivotButton="0" quotePrefix="0" xfId="0"/>
    <xf numFmtId="0" fontId="5" fillId="4" borderId="3" pivotButton="0" quotePrefix="0" xfId="0"/>
    <xf numFmtId="164" fontId="5" fillId="4" borderId="3" pivotButton="0" quotePrefix="0" xfId="0"/>
    <xf numFmtId="0" fontId="5" fillId="4" borderId="3" applyAlignment="1" pivotButton="0" quotePrefix="0" xfId="0">
      <alignment horizontal="center" vertical="center"/>
    </xf>
    <xf numFmtId="0" fontId="0" fillId="4" borderId="3" pivotButton="0" quotePrefix="0" xfId="0"/>
    <xf numFmtId="0" fontId="5" fillId="0" borderId="0" pivotButton="0" quotePrefix="0" xfId="0"/>
    <xf numFmtId="0" fontId="3" fillId="2" borderId="3" pivotButton="0" quotePrefix="0" xfId="0"/>
    <xf numFmtId="164" fontId="3" fillId="2" borderId="3" pivotButton="0" quotePrefix="0" xfId="0"/>
    <xf numFmtId="0" fontId="3" fillId="2"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1" workbookViewId="0">
      <selection activeCell="A1" sqref="A1"/>
    </sheetView>
  </sheetViews>
  <sheetFormatPr baseColWidth="8" defaultRowHeight="15"/>
  <cols>
    <col width="55" customWidth="1" min="1" max="1"/>
    <col width="20" customWidth="1" min="2" max="2"/>
    <col width="28" customWidth="1" min="3" max="3"/>
    <col width="50" customWidth="1" min="4" max="4"/>
  </cols>
  <sheetData>
    <row r="1" ht="40" customHeight="1">
      <c r="A1" s="1" t="inlineStr">
        <is>
          <t>FINANCIAL BRIDGE &amp; EBITDA NORMALIZATION — AMZN</t>
        </is>
      </c>
    </row>
    <row r="2" ht="20" customHeight="1">
      <c r="A2" s="2" t="inlineStr">
        <is>
          <t>Esercizio Fiscale: 2025 | Data Chiusura: 2025-12-31</t>
        </is>
      </c>
    </row>
    <row r="3"/>
    <row r="4" ht="26" customHeight="1">
      <c r="A4" s="3" t="inlineStr">
        <is>
          <t>Voce di Bilancio / Aggiustamento</t>
        </is>
      </c>
      <c r="B4" s="4" t="inlineStr">
        <is>
          <t>Valore (USD mln)</t>
        </is>
      </c>
      <c r="C4" s="4" t="inlineStr">
        <is>
          <t>Fonte Dati</t>
        </is>
      </c>
      <c r="D4" s="4" t="inlineStr">
        <is>
          <t>Note di Riconciliazione / Giustificazione</t>
        </is>
      </c>
    </row>
    <row r="5" ht="20" customHeight="1">
      <c r="A5" s="5" t="inlineStr">
        <is>
          <t>Net Income (Loss)</t>
        </is>
      </c>
      <c r="B5" s="6" t="n">
        <v>77670</v>
      </c>
      <c r="C5" s="7" t="inlineStr">
        <is>
          <t>SEC XBRL API</t>
        </is>
      </c>
      <c r="D5" s="8" t="n"/>
    </row>
    <row r="6" ht="20" customHeight="1">
      <c r="A6" s="5" t="inlineStr">
        <is>
          <t>Provision for Income Taxes</t>
        </is>
      </c>
      <c r="B6" s="6" t="n">
        <v>19087</v>
      </c>
      <c r="C6" s="7" t="inlineStr">
        <is>
          <t>SEC XBRL API</t>
        </is>
      </c>
      <c r="D6" s="8" t="n"/>
    </row>
    <row r="7" ht="20" customHeight="1">
      <c r="A7" s="5" t="inlineStr">
        <is>
          <t>Interest Expense</t>
        </is>
      </c>
      <c r="B7" s="6" t="n">
        <v>3182</v>
      </c>
      <c r="C7" s="7" t="inlineStr">
        <is>
          <t>SEC XBRL API</t>
        </is>
      </c>
      <c r="D7" s="8" t="n"/>
    </row>
    <row r="8" ht="20" customHeight="1">
      <c r="A8" s="5" t="inlineStr">
        <is>
          <t>Depreciation &amp; Amortization (D&amp;A)</t>
        </is>
      </c>
      <c r="B8" s="6" t="n">
        <v>8116</v>
      </c>
      <c r="C8" s="7" t="inlineStr">
        <is>
          <t>SEC XBRL API</t>
        </is>
      </c>
      <c r="D8" s="8" t="n"/>
    </row>
    <row r="9" ht="24" customHeight="1">
      <c r="A9" s="9" t="inlineStr">
        <is>
          <t>UNADJUSTED EBITDA (Base)</t>
        </is>
      </c>
      <c r="B9" s="10">
        <f>SUM(B5:B8)</f>
        <v/>
      </c>
      <c r="C9" s="11" t="inlineStr">
        <is>
          <t>Calcolo Matematico</t>
        </is>
      </c>
      <c r="D9" s="12" t="n"/>
    </row>
    <row r="10"/>
    <row r="11">
      <c r="A11" s="13" t="inlineStr">
        <is>
          <t>Aggiustamenti Strutturali / Voci Straordinarie:</t>
        </is>
      </c>
    </row>
    <row r="12" ht="22" customHeight="1">
      <c r="A12" s="5" t="inlineStr">
        <is>
          <t>Legal Settlement (FTC Lawsuit)</t>
        </is>
      </c>
      <c r="B12" s="6" t="n">
        <v>2500</v>
      </c>
      <c r="C12" s="7" t="inlineStr">
        <is>
          <t>Claude AI Layer (Item 7)</t>
        </is>
      </c>
      <c r="D12" s="5" t="inlineStr">
        <is>
          <t>Operating income for 2025 includes charges of $2.5 billion we recorded in Q3 2025 related to the settlement of a lawsuit with the FTC</t>
        </is>
      </c>
    </row>
    <row r="13" ht="22" customHeight="1">
      <c r="A13" s="5" t="inlineStr">
        <is>
          <t>Restructuring / Severance Costs</t>
        </is>
      </c>
      <c r="B13" s="6" t="n">
        <v>2700</v>
      </c>
      <c r="C13" s="7" t="inlineStr">
        <is>
          <t>Claude AI Layer (Item 7)</t>
        </is>
      </c>
      <c r="D13" s="5" t="inlineStr">
        <is>
          <t>$2.7 billion, of which $1.8 billion was recorded in Q3 2025, of estimated severance costs primarily related to planned role eliminations</t>
        </is>
      </c>
    </row>
    <row r="14" ht="22" customHeight="1">
      <c r="A14" s="5" t="inlineStr">
        <is>
          <t>Equity Investment Gain (Anthropic)</t>
        </is>
      </c>
      <c r="B14" s="6" t="n">
        <v>-15200</v>
      </c>
      <c r="C14" s="7" t="inlineStr">
        <is>
          <t>Claude AI Layer (Item 7)</t>
        </is>
      </c>
      <c r="D14" s="5" t="inlineStr">
        <is>
          <t>The net gain of $15.2 billion in 2025 is primarily from an upward adjustment for observable changes in price relating to our nonvoting preferred stock in Anthropic, and the reclassification adjustments for the gains on available-for-sale debt securities from the portions of our convertible notes investments in Anthropic that were converted to nonvoting preferred stock during 2025</t>
        </is>
      </c>
    </row>
    <row r="15" ht="22" customHeight="1">
      <c r="A15" s="5" t="inlineStr">
        <is>
          <t>Equity-Method Investment Impairment</t>
        </is>
      </c>
      <c r="B15" s="6" t="n">
        <v>554</v>
      </c>
      <c r="C15" s="7" t="inlineStr">
        <is>
          <t>Claude AI Layer (Item 7)</t>
        </is>
      </c>
      <c r="D15" s="5" t="inlineStr">
        <is>
          <t>The net loss of $(554) million in 2025 is primarily from impairments</t>
        </is>
      </c>
    </row>
    <row r="16"/>
    <row r="17" ht="26" customHeight="1">
      <c r="A17" s="14" t="inlineStr">
        <is>
          <t>NORMALIZED EBITDA</t>
        </is>
      </c>
      <c r="B17" s="15">
        <f>B9+SUM(B12:B15)</f>
        <v/>
      </c>
      <c r="C17" s="16" t="inlineStr">
        <is>
          <t>EBITDA Normalizzato</t>
        </is>
      </c>
      <c r="D17" s="14"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2026-07-07T20:00:53Z</dcterms:created>
  <dcterms:modified xsi:type="dcterms:W3CDTF">2026-07-07T20:00:53Z</dcterms:modified>
</cp:coreProperties>
</file>